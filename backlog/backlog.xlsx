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acklog" sheetId="1" state="visible" r:id="rId1"/>
    <sheet name="Summary" sheetId="2" state="visible" r:id="rId2"/>
  </sheets>
  <definedNames>
    <definedName name="_xlnm._FilterDatabase" localSheetId="0" hidden="1">'Backlog'!$A$1:$F$64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b val="1"/>
      <sz val="11"/>
    </font>
    <font>
      <name val="Arial"/>
      <sz val="11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FF2B2F36"/>
      </patternFill>
    </fill>
    <fill>
      <patternFill patternType="solid">
        <fgColor rgb="FFF4B183"/>
      </patternFill>
    </fill>
    <fill>
      <patternFill patternType="solid">
        <fgColor rgb="FFBDD7EE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EE5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1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 wrapText="1" indent="1"/>
    </xf>
    <xf numFmtId="0" fontId="3" fillId="4" borderId="1" applyAlignment="1" pivotButton="0" quotePrefix="0" xfId="0">
      <alignment horizontal="left" vertical="top" wrapText="1"/>
    </xf>
    <xf numFmtId="1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 wrapText="1" indent="2"/>
    </xf>
    <xf numFmtId="0" fontId="3" fillId="5" borderId="1" applyAlignment="1" pivotButton="0" quotePrefix="0" xfId="0">
      <alignment horizontal="left" vertical="top" wrapText="1"/>
    </xf>
    <xf numFmtId="1" fontId="2" fillId="5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 wrapText="1" indent="3"/>
    </xf>
    <xf numFmtId="0" fontId="3" fillId="0" borderId="1" applyAlignment="1" pivotButton="0" quotePrefix="0" xfId="0">
      <alignment horizontal="left" vertical="top" wrapText="1"/>
    </xf>
    <xf numFmtId="1" fontId="3" fillId="0" borderId="1" applyAlignment="1" pivotButton="0" quotePrefix="0" xfId="0">
      <alignment horizontal="center" vertical="top"/>
    </xf>
    <xf numFmtId="0" fontId="4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2" fillId="0" borderId="2" pivotButton="0" quotePrefix="0" xfId="0"/>
  </cellXfs>
  <cellStyles count="1">
    <cellStyle name="Normálna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Claude</author>
  </authors>
  <commentList>
    <comment ref="F1" authorId="0" shapeId="0">
      <text>
        <t>Task hours are example estimates for one developer. Epic / Feature / User Story hours are SUMIFS roll-ups of their tasks.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tabSelected="1" workbookViewId="0">
      <pane ySplit="1" topLeftCell="A48" activePane="bottomLeft" state="frozen"/>
      <selection pane="bottomLeft" activeCell="C64" sqref="C64"/>
    </sheetView>
  </sheetViews>
  <sheetFormatPr baseColWidth="8" defaultRowHeight="14.4"/>
  <cols>
    <col width="11" customWidth="1" min="1" max="1"/>
    <col width="15" customWidth="1" min="2" max="2"/>
    <col width="50" customWidth="1" min="3" max="3"/>
    <col width="80" customWidth="1" min="4" max="4"/>
    <col width="13" customWidth="1" min="5" max="5"/>
    <col width="16" customWidth="1" min="6" max="6"/>
  </cols>
  <sheetData>
    <row r="1">
      <c r="A1" s="1" t="inlineStr">
        <is>
          <t>Order No</t>
        </is>
      </c>
      <c r="B1" s="1" t="inlineStr">
        <is>
          <t>Work Item Type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Activity</t>
        </is>
      </c>
      <c r="F1" s="1" t="inlineStr">
        <is>
          <t>Estimated Hours</t>
        </is>
      </c>
    </row>
    <row r="2" ht="27.6" customHeight="1">
      <c r="A2" s="2" t="inlineStr">
        <is>
          <t>1</t>
        </is>
      </c>
      <c r="B2" s="3" t="inlineStr">
        <is>
          <t>Epic</t>
        </is>
      </c>
      <c r="C2" s="4" t="inlineStr">
        <is>
          <t>KUKA FM Middleware</t>
        </is>
      </c>
      <c r="D2" s="5" t="inlineStr">
        <is>
          <t>Middleware between an upstream system and KUKA AMR Fleet Manager: dispatch/cancel missions, sync mission and robot states, web UI.</t>
        </is>
      </c>
      <c r="E2" s="2" t="n"/>
      <c r="F2" s="6">
        <f>SUMIFS(F3:F64,B3:B64,"Task")</f>
        <v/>
      </c>
    </row>
    <row r="3" ht="27.6" customHeight="1">
      <c r="A3" s="7" t="inlineStr">
        <is>
          <t>1.1</t>
        </is>
      </c>
      <c r="B3" s="8" t="inlineStr">
        <is>
          <t>Feature</t>
        </is>
      </c>
      <c r="C3" s="9" t="inlineStr">
        <is>
          <t>Mission Management</t>
        </is>
      </c>
      <c r="D3" s="10" t="inlineStr">
        <is>
          <t>Dispatching, cancelling and monitoring missions created by the middleware (UC1–UC5).</t>
        </is>
      </c>
      <c r="E3" s="7" t="n"/>
      <c r="F3" s="11">
        <f>SUMIFS(F4:F30,B4:B30,"Task")</f>
        <v/>
      </c>
    </row>
    <row r="4">
      <c r="A4" s="12" t="inlineStr">
        <is>
          <t>1.1.1</t>
        </is>
      </c>
      <c r="B4" s="13" t="inlineStr">
        <is>
          <t>User Story</t>
        </is>
      </c>
      <c r="C4" s="14" t="inlineStr">
        <is>
          <t>UC1 Dispatch mission</t>
        </is>
      </c>
      <c r="D4" s="15" t="inlineStr">
        <is>
          <t>As an operator I want to dispatch a new RACK_MOVE mission to a selected robot.</t>
        </is>
      </c>
      <c r="E4" s="12" t="n"/>
      <c r="F4" s="16">
        <f>SUMIFS(F5:F9,B5:B9,"Task")</f>
        <v/>
      </c>
    </row>
    <row r="5" ht="27.6" customHeight="1">
      <c r="A5" s="17" t="inlineStr">
        <is>
          <t>1.1.1.1</t>
        </is>
      </c>
      <c r="B5" s="18" t="inlineStr">
        <is>
          <t>Task</t>
        </is>
      </c>
      <c r="C5" s="19" t="inlineStr">
        <is>
          <t>Endpoint POST /api/missions + input validation</t>
        </is>
      </c>
      <c r="D5" s="20" t="inlineStr">
        <is>
          <t>Create POST /api/missions. Validate start node, target node, container code, priority (1–99) and that the robot exists. Return 201 or a validation error.</t>
        </is>
      </c>
      <c r="E5" s="17" t="inlineStr">
        <is>
          <t>Backend</t>
        </is>
      </c>
      <c r="F5" s="21" t="n">
        <v>6</v>
      </c>
    </row>
    <row r="6" ht="27.6" customHeight="1">
      <c r="A6" s="17" t="inlineStr">
        <is>
          <t>1.1.1.2</t>
        </is>
      </c>
      <c r="B6" s="18" t="inlineStr">
        <is>
          <t>Task</t>
        </is>
      </c>
      <c r="C6" s="19" t="inlineStr">
        <is>
          <t>DB: insert mission</t>
        </is>
      </c>
      <c r="D6" s="20" t="inlineStr">
        <is>
          <t>Persist the new mission with status 10 (Created), generated mission_code/request_id and robot FK. Write only after KUKA FM confirms success.</t>
        </is>
      </c>
      <c r="E6" s="17" t="inlineStr">
        <is>
          <t>Backend</t>
        </is>
      </c>
      <c r="F6" s="21" t="n">
        <v>4</v>
      </c>
    </row>
    <row r="7" ht="41.4" customHeight="1">
      <c r="A7" s="17" t="inlineStr">
        <is>
          <t>1.1.1.3</t>
        </is>
      </c>
      <c r="B7" s="18" t="inlineStr">
        <is>
          <t>Task</t>
        </is>
      </c>
      <c r="C7" s="19" t="inlineStr">
        <is>
          <t>KUKA FM: submitMission call (RACK_MOVE)</t>
        </is>
      </c>
      <c r="D7" s="20" t="inlineStr">
        <is>
          <t>Call submitMission at https://kukafm.its.fei with Authorization token. Build RACK_MOVE body (missionData start/target node, robotIds); other params from appsettings. Handle success=false.</t>
        </is>
      </c>
      <c r="E7" s="17" t="inlineStr">
        <is>
          <t>Backend</t>
        </is>
      </c>
      <c r="F7" s="21" t="n">
        <v>6</v>
      </c>
    </row>
    <row r="8" ht="27.6" customHeight="1">
      <c r="A8" s="17" t="inlineStr">
        <is>
          <t>1.1.1.4</t>
        </is>
      </c>
      <c r="B8" s="18" t="inlineStr">
        <is>
          <t>Task</t>
        </is>
      </c>
      <c r="C8" s="19" t="inlineStr">
        <is>
          <t>Dispatch dialog + robot select</t>
        </is>
      </c>
      <c r="D8" s="20" t="inlineStr">
        <is>
          <t>Dialog opened by '+ Dispatch mission' with robot select (robots from DB), start/target node, container code and priority. Show success or error message.</t>
        </is>
      </c>
      <c r="E8" s="17" t="inlineStr">
        <is>
          <t>Frontend</t>
        </is>
      </c>
      <c r="F8" s="21" t="n">
        <v>6</v>
      </c>
    </row>
    <row r="9" ht="27.6" customHeight="1">
      <c r="A9" s="17" t="inlineStr">
        <is>
          <t>1.1.1.5</t>
        </is>
      </c>
      <c r="B9" s="18" t="inlineStr">
        <is>
          <t>Task</t>
        </is>
      </c>
      <c r="C9" s="19" t="inlineStr">
        <is>
          <t>Unit tests for dispatch mission</t>
        </is>
      </c>
      <c r="D9" s="20" t="inlineStr">
        <is>
          <t>Unit tests for input validation, KUKA submitMission request mapping and service logic (KUKA client and DB mocked).</t>
        </is>
      </c>
      <c r="E9" s="17" t="inlineStr">
        <is>
          <t>Testing</t>
        </is>
      </c>
      <c r="F9" s="21" t="n">
        <v>6</v>
      </c>
    </row>
    <row r="10">
      <c r="A10" s="12" t="inlineStr">
        <is>
          <t>1.1.2</t>
        </is>
      </c>
      <c r="B10" s="13" t="inlineStr">
        <is>
          <t>User Story</t>
        </is>
      </c>
      <c r="C10" s="14" t="inlineStr">
        <is>
          <t>UC2 Cancel mission</t>
        </is>
      </c>
      <c r="D10" s="15" t="inlineStr">
        <is>
          <t>As an operator I want to force-cancel a running mission.</t>
        </is>
      </c>
      <c r="E10" s="12" t="n"/>
      <c r="F10" s="16">
        <f>SUMIFS(F11:F15,B11:B15,"Task")</f>
        <v/>
      </c>
    </row>
    <row r="11" ht="27.6" customHeight="1">
      <c r="A11" s="17" t="inlineStr">
        <is>
          <t>1.1.2.1</t>
        </is>
      </c>
      <c r="B11" s="18" t="inlineStr">
        <is>
          <t>Task</t>
        </is>
      </c>
      <c r="C11" s="19" t="inlineStr">
        <is>
          <t>Endpoint POST /api/missions/{code}/cancel</t>
        </is>
      </c>
      <c r="D11" s="20" t="inlineStr">
        <is>
          <t>Create POST /api/missions/{code}/cancel. Return 200 on success, 404 if not found, 409 if mission is not active.</t>
        </is>
      </c>
      <c r="E11" s="17" t="inlineStr">
        <is>
          <t>Backend</t>
        </is>
      </c>
      <c r="F11" s="21" t="n">
        <v>4</v>
      </c>
    </row>
    <row r="12">
      <c r="A12" s="17" t="inlineStr">
        <is>
          <t>1.1.2.2</t>
        </is>
      </c>
      <c r="B12" s="18" t="inlineStr">
        <is>
          <t>Task</t>
        </is>
      </c>
      <c r="C12" s="19" t="inlineStr">
        <is>
          <t>DB: load mission + active status check</t>
        </is>
      </c>
      <c r="D12" s="20" t="inlineStr">
        <is>
          <t>Load mission by mission_code and check that its status is active (10, 20, 25, 28, 50).</t>
        </is>
      </c>
      <c r="E12" s="17" t="inlineStr">
        <is>
          <t>Backend</t>
        </is>
      </c>
      <c r="F12" s="21" t="n">
        <v>2</v>
      </c>
    </row>
    <row r="13" ht="27.6" customHeight="1">
      <c r="A13" s="17" t="inlineStr">
        <is>
          <t>1.1.2.3</t>
        </is>
      </c>
      <c r="B13" s="18" t="inlineStr">
        <is>
          <t>Task</t>
        </is>
      </c>
      <c r="C13" s="19" t="inlineStr">
        <is>
          <t>KUKA FM: missionCancel call (FORCE)</t>
        </is>
      </c>
      <c r="D13" s="20" t="inlineStr">
        <is>
          <t>Call missionCancel with missionCode and cancelMode FORCE. Final status (31 Cancelled) is stored later by mission sync.</t>
        </is>
      </c>
      <c r="E13" s="17" t="inlineStr">
        <is>
          <t>Backend</t>
        </is>
      </c>
      <c r="F13" s="21" t="n">
        <v>4</v>
      </c>
    </row>
    <row r="14" ht="27.6" customHeight="1">
      <c r="A14" s="17" t="inlineStr">
        <is>
          <t>1.1.2.4</t>
        </is>
      </c>
      <c r="B14" s="18" t="inlineStr">
        <is>
          <t>Task</t>
        </is>
      </c>
      <c r="C14" s="19" t="inlineStr">
        <is>
          <t>Cancel button + confirm dialog</t>
        </is>
      </c>
      <c r="D14" s="20" t="inlineStr">
        <is>
          <t>Cancel button shown only on active missions; confirmation dialog mentioning FORCE cancel; show result message.</t>
        </is>
      </c>
      <c r="E14" s="17" t="inlineStr">
        <is>
          <t>Frontend</t>
        </is>
      </c>
      <c r="F14" s="21" t="n">
        <v>3</v>
      </c>
    </row>
    <row r="15" ht="27.6" customHeight="1">
      <c r="A15" s="17" t="inlineStr">
        <is>
          <t>1.1.2.5</t>
        </is>
      </c>
      <c r="B15" s="18" t="inlineStr">
        <is>
          <t>Task</t>
        </is>
      </c>
      <c r="C15" s="19" t="inlineStr">
        <is>
          <t>Unit tests for cancel mission</t>
        </is>
      </c>
      <c r="D15" s="20" t="inlineStr">
        <is>
          <t>Unit tests for active / not-active / not-found cases and KUKA FM error handling (KUKA client and DB mocked).</t>
        </is>
      </c>
      <c r="E15" s="17" t="inlineStr">
        <is>
          <t>Testing</t>
        </is>
      </c>
      <c r="F15" s="21" t="n">
        <v>4</v>
      </c>
    </row>
    <row r="16">
      <c r="A16" s="12" t="inlineStr">
        <is>
          <t>1.1.3</t>
        </is>
      </c>
      <c r="B16" s="13" t="inlineStr">
        <is>
          <t>User Story</t>
        </is>
      </c>
      <c r="C16" s="14" t="inlineStr">
        <is>
          <t>UC3 View mission status</t>
        </is>
      </c>
      <c r="D16" s="15" t="inlineStr">
        <is>
          <t>As an operator I want to see the current status of active and finished missions.</t>
        </is>
      </c>
      <c r="E16" s="12" t="n"/>
      <c r="F16" s="16">
        <f>SUMIFS(F17:F20,B17:B20,"Task")</f>
        <v/>
      </c>
    </row>
    <row r="17" ht="27.6" customHeight="1">
      <c r="A17" s="17" t="inlineStr">
        <is>
          <t>1.1.3.1</t>
        </is>
      </c>
      <c r="B17" s="18" t="inlineStr">
        <is>
          <t>Task</t>
        </is>
      </c>
      <c r="C17" s="19" t="inlineStr">
        <is>
          <t>Endpoint GET /api/missions (active/finished filter)</t>
        </is>
      </c>
      <c r="D17" s="20" t="inlineStr">
        <is>
          <t>Create GET /api/missions with optional filter state=active|finished; return missions with status code and name, robot and timestamps.</t>
        </is>
      </c>
      <c r="E17" s="17" t="inlineStr">
        <is>
          <t>Backend</t>
        </is>
      </c>
      <c r="F17" s="21" t="n">
        <v>3</v>
      </c>
    </row>
    <row r="18" ht="27.6" customHeight="1">
      <c r="A18" s="17" t="inlineStr">
        <is>
          <t>1.1.3.2</t>
        </is>
      </c>
      <c r="B18" s="18" t="inlineStr">
        <is>
          <t>Task</t>
        </is>
      </c>
      <c r="C18" s="19" t="inlineStr">
        <is>
          <t>DB: missions query</t>
        </is>
      </c>
      <c r="D18" s="20" t="inlineStr">
        <is>
          <t>EF Core query over mission table with status filter, robot join and ordering by created_at desc.</t>
        </is>
      </c>
      <c r="E18" s="17" t="inlineStr">
        <is>
          <t>Backend</t>
        </is>
      </c>
      <c r="F18" s="21" t="n">
        <v>2</v>
      </c>
    </row>
    <row r="19" ht="27.6" customHeight="1">
      <c r="A19" s="17" t="inlineStr">
        <is>
          <t>1.1.3.3</t>
        </is>
      </c>
      <c r="B19" s="18" t="inlineStr">
        <is>
          <t>Task</t>
        </is>
      </c>
      <c r="C19" s="19" t="inlineStr">
        <is>
          <t>Missions table + filter + 1 s polling</t>
        </is>
      </c>
      <c r="D19" s="20" t="inlineStr">
        <is>
          <t>Missions table (code, status badge, robot, nodes, container, priority, times) with All/Active/Finished filter and auto-refresh every 1 s.</t>
        </is>
      </c>
      <c r="E19" s="17" t="inlineStr">
        <is>
          <t>Frontend</t>
        </is>
      </c>
      <c r="F19" s="21" t="n">
        <v>8</v>
      </c>
    </row>
    <row r="20" ht="27.6" customHeight="1">
      <c r="A20" s="17" t="inlineStr">
        <is>
          <t>1.1.3.4</t>
        </is>
      </c>
      <c r="B20" s="18" t="inlineStr">
        <is>
          <t>Task</t>
        </is>
      </c>
      <c r="C20" s="19" t="inlineStr">
        <is>
          <t>Unit tests for view mission status</t>
        </is>
      </c>
      <c r="D20" s="20" t="inlineStr">
        <is>
          <t>Unit tests for the active/finished filter logic and the missions service.</t>
        </is>
      </c>
      <c r="E20" s="17" t="inlineStr">
        <is>
          <t>Testing</t>
        </is>
      </c>
      <c r="F20" s="21" t="n">
        <v>3</v>
      </c>
    </row>
    <row r="21">
      <c r="A21" s="12" t="inlineStr">
        <is>
          <t>1.1.4</t>
        </is>
      </c>
      <c r="B21" s="13" t="inlineStr">
        <is>
          <t>User Story</t>
        </is>
      </c>
      <c r="C21" s="14" t="inlineStr">
        <is>
          <t>UC4 View mission status history</t>
        </is>
      </c>
      <c r="D21" s="15" t="inlineStr">
        <is>
          <t>As an operator I want to see all previous statuses of a mission.</t>
        </is>
      </c>
      <c r="E21" s="12" t="n"/>
      <c r="F21" s="16">
        <f>SUMIFS(F22:F25,B22:B25,"Task")</f>
        <v/>
      </c>
    </row>
    <row r="22" ht="27.6" customHeight="1">
      <c r="A22" s="17" t="inlineStr">
        <is>
          <t>1.1.4.1</t>
        </is>
      </c>
      <c r="B22" s="18" t="inlineStr">
        <is>
          <t>Task</t>
        </is>
      </c>
      <c r="C22" s="19" t="inlineStr">
        <is>
          <t>Endpoint GET /api/missions/{code}/history</t>
        </is>
      </c>
      <c r="D22" s="20" t="inlineStr">
        <is>
          <t>Create GET /api/missions/{code}/history returning previous states (status, robot, valid_from, valid_to).</t>
        </is>
      </c>
      <c r="E22" s="17" t="inlineStr">
        <is>
          <t>Backend</t>
        </is>
      </c>
      <c r="F22" s="21" t="n">
        <v>2</v>
      </c>
    </row>
    <row r="23">
      <c r="A23" s="17" t="inlineStr">
        <is>
          <t>1.1.4.2</t>
        </is>
      </c>
      <c r="B23" s="18" t="inlineStr">
        <is>
          <t>Task</t>
        </is>
      </c>
      <c r="C23" s="19" t="inlineStr">
        <is>
          <t>DB: mission history query</t>
        </is>
      </c>
      <c r="D23" s="20" t="inlineStr">
        <is>
          <t>Query mission_status_history by mission_id ordered by valid_to desc.</t>
        </is>
      </c>
      <c r="E23" s="17" t="inlineStr">
        <is>
          <t>Backend</t>
        </is>
      </c>
      <c r="F23" s="21" t="n">
        <v>2</v>
      </c>
    </row>
    <row r="24">
      <c r="A24" s="17" t="inlineStr">
        <is>
          <t>1.1.4.3</t>
        </is>
      </c>
      <c r="B24" s="18" t="inlineStr">
        <is>
          <t>Task</t>
        </is>
      </c>
      <c r="C24" s="19" t="inlineStr">
        <is>
          <t>Show history rows in missions table</t>
        </is>
      </c>
      <c r="D24" s="20" t="inlineStr">
        <is>
          <t>'Show history' checkbox adds grey previous-state rows under each mission.</t>
        </is>
      </c>
      <c r="E24" s="17" t="inlineStr">
        <is>
          <t>Frontend</t>
        </is>
      </c>
      <c r="F24" s="21" t="n">
        <v>4</v>
      </c>
    </row>
    <row r="25" ht="27.6" customHeight="1">
      <c r="A25" s="17" t="inlineStr">
        <is>
          <t>1.1.4.4</t>
        </is>
      </c>
      <c r="B25" s="18" t="inlineStr">
        <is>
          <t>Task</t>
        </is>
      </c>
      <c r="C25" s="19" t="inlineStr">
        <is>
          <t>Unit tests for view mission status history</t>
        </is>
      </c>
      <c r="D25" s="20" t="inlineStr">
        <is>
          <t>Unit tests for the mission history service (existing/unknown mission).</t>
        </is>
      </c>
      <c r="E25" s="17" t="inlineStr">
        <is>
          <t>Testing</t>
        </is>
      </c>
      <c r="F25" s="21" t="n">
        <v>2</v>
      </c>
    </row>
    <row r="26">
      <c r="A26" s="12" t="inlineStr">
        <is>
          <t>1.1.5</t>
        </is>
      </c>
      <c r="B26" s="13" t="inlineStr">
        <is>
          <t>User Story</t>
        </is>
      </c>
      <c r="C26" s="14" t="inlineStr">
        <is>
          <t>UC5 Synchronize mission status</t>
        </is>
      </c>
      <c r="D26" s="15" t="inlineStr">
        <is>
          <t>As the system I want to periodically sync statuses of tracked missions from KUKA FM.</t>
        </is>
      </c>
      <c r="E26" s="12" t="n"/>
      <c r="F26" s="16">
        <f>SUMIFS(F27:F30,B27:B30,"Task")</f>
        <v/>
      </c>
    </row>
    <row r="27" ht="27.6" customHeight="1">
      <c r="A27" s="17" t="inlineStr">
        <is>
          <t>1.1.5.1</t>
        </is>
      </c>
      <c r="B27" s="18" t="inlineStr">
        <is>
          <t>Task</t>
        </is>
      </c>
      <c r="C27" s="19" t="inlineStr">
        <is>
          <t>Scheduler job for mission sync (interval from appsettings)</t>
        </is>
      </c>
      <c r="D27" s="20" t="inlineStr">
        <is>
          <t>Hosted background service running on interval from appsettings; starts only after first robot sync finished; logs to Seq.</t>
        </is>
      </c>
      <c r="E27" s="17" t="inlineStr">
        <is>
          <t>Backend</t>
        </is>
      </c>
      <c r="F27" s="21" t="n">
        <v>4</v>
      </c>
    </row>
    <row r="28" ht="27.6" customHeight="1">
      <c r="A28" s="17" t="inlineStr">
        <is>
          <t>1.1.5.2</t>
        </is>
      </c>
      <c r="B28" s="18" t="inlineStr">
        <is>
          <t>Task</t>
        </is>
      </c>
      <c r="C28" s="19" t="inlineStr">
        <is>
          <t>DB: update mission + write status history</t>
        </is>
      </c>
      <c r="D28" s="20" t="inlineStr">
        <is>
          <t>For each changed mission copy previous state into mission_status_history, update status/robot/updated_at; set completed_at for final statuses.</t>
        </is>
      </c>
      <c r="E28" s="17" t="inlineStr">
        <is>
          <t>Backend</t>
        </is>
      </c>
      <c r="F28" s="21" t="n">
        <v>4</v>
      </c>
    </row>
    <row r="29" ht="27.6" customHeight="1">
      <c r="A29" s="17" t="inlineStr">
        <is>
          <t>1.1.5.3</t>
        </is>
      </c>
      <c r="B29" s="18" t="inlineStr">
        <is>
          <t>Task</t>
        </is>
      </c>
      <c r="C29" s="19" t="inlineStr">
        <is>
          <t>KUKA FM: jobQuery call (once per tick)</t>
        </is>
      </c>
      <c r="D29" s="20" t="inlineStr">
        <is>
          <t>Call jobQuery once per tick (limit and filters from appsettings) and match results to active missions by jobCode.</t>
        </is>
      </c>
      <c r="E29" s="17" t="inlineStr">
        <is>
          <t>Backend</t>
        </is>
      </c>
      <c r="F29" s="21" t="n">
        <v>5</v>
      </c>
    </row>
    <row r="30" ht="27.6" customHeight="1">
      <c r="A30" s="17" t="inlineStr">
        <is>
          <t>1.1.5.4</t>
        </is>
      </c>
      <c r="B30" s="18" t="inlineStr">
        <is>
          <t>Task</t>
        </is>
      </c>
      <c r="C30" s="19" t="inlineStr">
        <is>
          <t>Unit tests for mission sync</t>
        </is>
      </c>
      <c r="D30" s="20" t="inlineStr">
        <is>
          <t>Unit tests for sync logic: status change, no change, final status, unknown jobCode and KUKA FM error.</t>
        </is>
      </c>
      <c r="E30" s="17" t="inlineStr">
        <is>
          <t>Testing</t>
        </is>
      </c>
      <c r="F30" s="21" t="n">
        <v>5</v>
      </c>
    </row>
    <row r="31">
      <c r="A31" s="7" t="inlineStr">
        <is>
          <t>1.2</t>
        </is>
      </c>
      <c r="B31" s="8" t="inlineStr">
        <is>
          <t>Feature</t>
        </is>
      </c>
      <c r="C31" s="9" t="inlineStr">
        <is>
          <t>Robot Management</t>
        </is>
      </c>
      <c r="D31" s="10" t="inlineStr">
        <is>
          <t>Monitoring robots and their states synchronized from KUKA FM (UC6–UC8).</t>
        </is>
      </c>
      <c r="E31" s="7" t="n"/>
      <c r="F31" s="11">
        <f>SUMIFS(F32:F46,B32:B46,"Task")</f>
        <v/>
      </c>
    </row>
    <row r="32">
      <c r="A32" s="12" t="inlineStr">
        <is>
          <t>1.2.1</t>
        </is>
      </c>
      <c r="B32" s="13" t="inlineStr">
        <is>
          <t>User Story</t>
        </is>
      </c>
      <c r="C32" s="14" t="inlineStr">
        <is>
          <t>UC6 View robot status</t>
        </is>
      </c>
      <c r="D32" s="15" t="inlineStr">
        <is>
          <t>As an operator I want to see all robots and their current state.</t>
        </is>
      </c>
      <c r="E32" s="12" t="n"/>
      <c r="F32" s="16">
        <f>SUMIFS(F33:F36,B33:B36,"Task")</f>
        <v/>
      </c>
    </row>
    <row r="33" ht="41.4" customHeight="1">
      <c r="A33" s="17" t="inlineStr">
        <is>
          <t>1.2.1.1</t>
        </is>
      </c>
      <c r="B33" s="18" t="inlineStr">
        <is>
          <t>Task</t>
        </is>
      </c>
      <c r="C33" s="19" t="inlineStr">
        <is>
          <t>Endpoint GET /api/robots + status mapping (Available/Busy/Offline)</t>
        </is>
      </c>
      <c r="D33" s="20" t="inlineStr">
        <is>
          <t>Create GET /api/robots returning robots with KUKA status and mapped state (Idle→Available; Departure/Executing/Charging/Updating→Busy; Offline/Abnormal→Offline).</t>
        </is>
      </c>
      <c r="E33" s="17" t="inlineStr">
        <is>
          <t>Backend</t>
        </is>
      </c>
      <c r="F33" s="21" t="n">
        <v>3</v>
      </c>
    </row>
    <row r="34">
      <c r="A34" s="17" t="inlineStr">
        <is>
          <t>1.2.1.2</t>
        </is>
      </c>
      <c r="B34" s="18" t="inlineStr">
        <is>
          <t>Task</t>
        </is>
      </c>
      <c r="C34" s="19" t="inlineStr">
        <is>
          <t>DB: robots query</t>
        </is>
      </c>
      <c r="D34" s="20" t="inlineStr">
        <is>
          <t>EF Core query over robot table ordered by robot_code.</t>
        </is>
      </c>
      <c r="E34" s="17" t="inlineStr">
        <is>
          <t>Backend</t>
        </is>
      </c>
      <c r="F34" s="21" t="n">
        <v>2</v>
      </c>
    </row>
    <row r="35" ht="27.6" customHeight="1">
      <c r="A35" s="17" t="inlineStr">
        <is>
          <t>1.2.1.3</t>
        </is>
      </c>
      <c r="B35" s="18" t="inlineStr">
        <is>
          <t>Task</t>
        </is>
      </c>
      <c r="C35" s="19" t="inlineStr">
        <is>
          <t>Robots table + 1 s polling</t>
        </is>
      </c>
      <c r="D35" s="20" t="inlineStr">
        <is>
          <t>Robots table (code, type, state badge, KUKA status, battery bar, map, node, mission, updated) with auto-refresh every 1 s.</t>
        </is>
      </c>
      <c r="E35" s="17" t="inlineStr">
        <is>
          <t>Frontend</t>
        </is>
      </c>
      <c r="F35" s="21" t="n">
        <v>6</v>
      </c>
    </row>
    <row r="36" ht="27.6" customHeight="1">
      <c r="A36" s="17" t="inlineStr">
        <is>
          <t>1.2.1.4</t>
        </is>
      </c>
      <c r="B36" s="18" t="inlineStr">
        <is>
          <t>Task</t>
        </is>
      </c>
      <c r="C36" s="19" t="inlineStr">
        <is>
          <t>Unit tests for view robot status</t>
        </is>
      </c>
      <c r="D36" s="20" t="inlineStr">
        <is>
          <t>Unit tests for status mapping (Available/Busy/Offline) and the robots service.</t>
        </is>
      </c>
      <c r="E36" s="17" t="inlineStr">
        <is>
          <t>Testing</t>
        </is>
      </c>
      <c r="F36" s="21" t="n">
        <v>3</v>
      </c>
    </row>
    <row r="37">
      <c r="A37" s="12" t="inlineStr">
        <is>
          <t>1.2.2</t>
        </is>
      </c>
      <c r="B37" s="13" t="inlineStr">
        <is>
          <t>User Story</t>
        </is>
      </c>
      <c r="C37" s="14" t="inlineStr">
        <is>
          <t>UC7 View robot status history</t>
        </is>
      </c>
      <c r="D37" s="15" t="inlineStr">
        <is>
          <t>As an operator I want to see all previous states of a robot.</t>
        </is>
      </c>
      <c r="E37" s="12" t="n"/>
      <c r="F37" s="16">
        <f>SUMIFS(F38:F41,B38:B41,"Task")</f>
        <v/>
      </c>
    </row>
    <row r="38">
      <c r="A38" s="17" t="inlineStr">
        <is>
          <t>1.2.2.1</t>
        </is>
      </c>
      <c r="B38" s="18" t="inlineStr">
        <is>
          <t>Task</t>
        </is>
      </c>
      <c r="C38" s="19" t="inlineStr">
        <is>
          <t>Endpoint GET /api/robots/{id}/history</t>
        </is>
      </c>
      <c r="D38" s="20" t="inlineStr">
        <is>
          <t>Create GET /api/robots/{id}/history returning previous states with valid_from/valid_to.</t>
        </is>
      </c>
      <c r="E38" s="17" t="inlineStr">
        <is>
          <t>Backend</t>
        </is>
      </c>
      <c r="F38" s="21" t="n">
        <v>2</v>
      </c>
    </row>
    <row r="39">
      <c r="A39" s="17" t="inlineStr">
        <is>
          <t>1.2.2.2</t>
        </is>
      </c>
      <c r="B39" s="18" t="inlineStr">
        <is>
          <t>Task</t>
        </is>
      </c>
      <c r="C39" s="19" t="inlineStr">
        <is>
          <t>DB: robot history query</t>
        </is>
      </c>
      <c r="D39" s="20" t="inlineStr">
        <is>
          <t>Query robot_status_history by robot_id ordered by valid_to desc.</t>
        </is>
      </c>
      <c r="E39" s="17" t="inlineStr">
        <is>
          <t>Backend</t>
        </is>
      </c>
      <c r="F39" s="21" t="n">
        <v>2</v>
      </c>
    </row>
    <row r="40">
      <c r="A40" s="17" t="inlineStr">
        <is>
          <t>1.2.2.3</t>
        </is>
      </c>
      <c r="B40" s="18" t="inlineStr">
        <is>
          <t>Task</t>
        </is>
      </c>
      <c r="C40" s="19" t="inlineStr">
        <is>
          <t>Show history rows in robots table</t>
        </is>
      </c>
      <c r="D40" s="20" t="inlineStr">
        <is>
          <t>'Show history' checkbox adds grey previous-state rows under each robot.</t>
        </is>
      </c>
      <c r="E40" s="17" t="inlineStr">
        <is>
          <t>Frontend</t>
        </is>
      </c>
      <c r="F40" s="21" t="n">
        <v>3</v>
      </c>
    </row>
    <row r="41" ht="27.6" customHeight="1">
      <c r="A41" s="17" t="inlineStr">
        <is>
          <t>1.2.2.4</t>
        </is>
      </c>
      <c r="B41" s="18" t="inlineStr">
        <is>
          <t>Task</t>
        </is>
      </c>
      <c r="C41" s="19" t="inlineStr">
        <is>
          <t>Unit tests for view robot status history</t>
        </is>
      </c>
      <c r="D41" s="20" t="inlineStr">
        <is>
          <t>Unit tests for the robot history service (existing/unknown robot).</t>
        </is>
      </c>
      <c r="E41" s="17" t="inlineStr">
        <is>
          <t>Testing</t>
        </is>
      </c>
      <c r="F41" s="21" t="n">
        <v>2</v>
      </c>
    </row>
    <row r="42">
      <c r="A42" s="12" t="inlineStr">
        <is>
          <t>1.2.3</t>
        </is>
      </c>
      <c r="B42" s="13" t="inlineStr">
        <is>
          <t>User Story</t>
        </is>
      </c>
      <c r="C42" s="14" t="inlineStr">
        <is>
          <t>UC8 Synchronize robot status</t>
        </is>
      </c>
      <c r="D42" s="15" t="inlineStr">
        <is>
          <t>As the system I want to periodically sync all robots from KUKA FM.</t>
        </is>
      </c>
      <c r="E42" s="12" t="n"/>
      <c r="F42" s="16">
        <f>SUMIFS(F43:F46,B43:B46,"Task")</f>
        <v/>
      </c>
    </row>
    <row r="43" ht="27.6" customHeight="1">
      <c r="A43" s="17" t="inlineStr">
        <is>
          <t>1.2.3.1</t>
        </is>
      </c>
      <c r="B43" s="18" t="inlineStr">
        <is>
          <t>Task</t>
        </is>
      </c>
      <c r="C43" s="19" t="inlineStr">
        <is>
          <t>Scheduler job for robot sync (runs before mission sync on startup)</t>
        </is>
      </c>
      <c r="D43" s="20" t="inlineStr">
        <is>
          <t>Hosted background service on interval from appsettings; runs first on startup and signals mission sync to start.</t>
        </is>
      </c>
      <c r="E43" s="17" t="inlineStr">
        <is>
          <t>Backend</t>
        </is>
      </c>
      <c r="F43" s="21" t="n">
        <v>4</v>
      </c>
    </row>
    <row r="44" ht="27.6" customHeight="1">
      <c r="A44" s="17" t="inlineStr">
        <is>
          <t>1.2.3.2</t>
        </is>
      </c>
      <c r="B44" s="18" t="inlineStr">
        <is>
          <t>Task</t>
        </is>
      </c>
      <c r="C44" s="19" t="inlineStr">
        <is>
          <t>DB: insert/update robot + write status history</t>
        </is>
      </c>
      <c r="D44" s="20" t="inlineStr">
        <is>
          <t>Insert new robots; for every changed robot copy previous state into robot_status_history and update current values.</t>
        </is>
      </c>
      <c r="E44" s="17" t="inlineStr">
        <is>
          <t>Backend</t>
        </is>
      </c>
      <c r="F44" s="21" t="n">
        <v>4</v>
      </c>
    </row>
    <row r="45">
      <c r="A45" s="17" t="inlineStr">
        <is>
          <t>1.2.3.3</t>
        </is>
      </c>
      <c r="B45" s="18" t="inlineStr">
        <is>
          <t>Task</t>
        </is>
      </c>
      <c r="C45" s="19" t="inlineStr">
        <is>
          <t>KUKA FM: robotQuery call</t>
        </is>
      </c>
      <c r="D45" s="20" t="inlineStr">
        <is>
          <t>Call robotQuery without filters to get all robots; map response fields to robot entity.</t>
        </is>
      </c>
      <c r="E45" s="17" t="inlineStr">
        <is>
          <t>Backend</t>
        </is>
      </c>
      <c r="F45" s="21" t="n">
        <v>4</v>
      </c>
    </row>
    <row r="46" ht="27.6" customHeight="1">
      <c r="A46" s="17" t="inlineStr">
        <is>
          <t>1.2.3.4</t>
        </is>
      </c>
      <c r="B46" s="18" t="inlineStr">
        <is>
          <t>Task</t>
        </is>
      </c>
      <c r="C46" s="19" t="inlineStr">
        <is>
          <t>Unit tests for robot sync</t>
        </is>
      </c>
      <c r="D46" s="20" t="inlineStr">
        <is>
          <t>Unit tests for sync logic: new robot, changed robot, unchanged robot and KUKA FM error.</t>
        </is>
      </c>
      <c r="E46" s="17" t="inlineStr">
        <is>
          <t>Testing</t>
        </is>
      </c>
      <c r="F46" s="21" t="n">
        <v>5</v>
      </c>
    </row>
    <row r="47" ht="27.6" customHeight="1">
      <c r="A47" s="7" t="inlineStr">
        <is>
          <t>1.3</t>
        </is>
      </c>
      <c r="B47" s="8" t="inlineStr">
        <is>
          <t>Feature</t>
        </is>
      </c>
      <c r="C47" s="9" t="inlineStr">
        <is>
          <t>Deployment</t>
        </is>
      </c>
      <c r="D47" s="10" t="inlineStr">
        <is>
          <t>Containerization, CI and CD of the whole application on the local Azure DevOps Windows agent with Docker Desktop.</t>
        </is>
      </c>
      <c r="E47" s="7" t="n"/>
      <c r="F47" s="11">
        <f>SUMIFS(F48:F64,B48:B64,"Task")</f>
        <v/>
      </c>
    </row>
    <row r="48">
      <c r="A48" s="12" t="inlineStr">
        <is>
          <t>1.3.1</t>
        </is>
      </c>
      <c r="B48" s="13" t="inlineStr">
        <is>
          <t>User Story</t>
        </is>
      </c>
      <c r="C48" s="14" t="inlineStr">
        <is>
          <t>Containerize application</t>
        </is>
      </c>
      <c r="D48" s="15" t="inlineStr">
        <is>
          <t>As a team we want the application to run fully in Docker containers.</t>
        </is>
      </c>
      <c r="E48" s="12" t="n"/>
      <c r="F48" s="16">
        <f>SUMIFS(F49:F53,B49:B53,"Task")</f>
        <v/>
      </c>
    </row>
    <row r="49" ht="27.6" customHeight="1">
      <c r="A49" s="17" t="inlineStr">
        <is>
          <t>1.3.1.1</t>
        </is>
      </c>
      <c r="B49" s="18" t="inlineStr">
        <is>
          <t>Task</t>
        </is>
      </c>
      <c r="C49" s="19" t="inlineStr">
        <is>
          <t>Backend Dockerfile (multi-stage .NET build)</t>
        </is>
      </c>
      <c r="D49" s="20" t="inlineStr">
        <is>
          <t>Multi-stage Dockerfile: build and publish with .NET SDK image, run on ASP.NET runtime image.</t>
        </is>
      </c>
      <c r="E49" s="17" t="inlineStr">
        <is>
          <t>Deployment</t>
        </is>
      </c>
      <c r="F49" s="21" t="n">
        <v>3</v>
      </c>
    </row>
    <row r="50" ht="27.6" customHeight="1">
      <c r="A50" s="17" t="inlineStr">
        <is>
          <t>1.3.1.2</t>
        </is>
      </c>
      <c r="B50" s="18" t="inlineStr">
        <is>
          <t>Task</t>
        </is>
      </c>
      <c r="C50" s="19" t="inlineStr">
        <is>
          <t>Frontend Dockerfile (Angular build + nginx image)</t>
        </is>
      </c>
      <c r="D50" s="20" t="inlineStr">
        <is>
          <t>Multi-stage Dockerfile: build Angular app with Node image, serve static files from nginx image.</t>
        </is>
      </c>
      <c r="E50" s="17" t="inlineStr">
        <is>
          <t>Deployment</t>
        </is>
      </c>
      <c r="F50" s="21" t="n">
        <v>3</v>
      </c>
    </row>
    <row r="51" ht="27.6" customHeight="1">
      <c r="A51" s="17" t="inlineStr">
        <is>
          <t>1.3.1.3</t>
        </is>
      </c>
      <c r="B51" s="18" t="inlineStr">
        <is>
          <t>Task</t>
        </is>
      </c>
      <c r="C51" s="19" t="inlineStr">
        <is>
          <t>nginx config: serve SPA + proxy /api to backend</t>
        </is>
      </c>
      <c r="D51" s="20" t="inlineStr">
        <is>
          <t>nginx.conf serving SPA with fallback to index.html and reverse proxy /api to the backend container.</t>
        </is>
      </c>
      <c r="E51" s="17" t="inlineStr">
        <is>
          <t>Deployment</t>
        </is>
      </c>
      <c r="F51" s="21" t="n">
        <v>2</v>
      </c>
    </row>
    <row r="52" ht="27.6" customHeight="1">
      <c r="A52" s="17" t="inlineStr">
        <is>
          <t>1.3.1.4</t>
        </is>
      </c>
      <c r="B52" s="18" t="inlineStr">
        <is>
          <t>Task</t>
        </is>
      </c>
      <c r="C52" s="19" t="inlineStr">
        <is>
          <t>docker-compose: api, web, postgres, seq with volumes</t>
        </is>
      </c>
      <c r="D52" s="20" t="inlineStr">
        <is>
          <t>Compose file with web (8080), api (internal only), postgres (5432) and seq (5341) with persistent volumes; images always built.</t>
        </is>
      </c>
      <c r="E52" s="17" t="inlineStr">
        <is>
          <t>Deployment</t>
        </is>
      </c>
      <c r="F52" s="21" t="n">
        <v>4</v>
      </c>
    </row>
    <row r="53" ht="27.6" customHeight="1">
      <c r="A53" s="17" t="inlineStr">
        <is>
          <t>1.3.1.5</t>
        </is>
      </c>
      <c r="B53" s="18" t="inlineStr">
        <is>
          <t>Task</t>
        </is>
      </c>
      <c r="C53" s="19" t="inlineStr">
        <is>
          <t>Environment configs</t>
        </is>
      </c>
      <c r="D53" s="20" t="inlineStr">
        <is>
          <t>appsettings.Development.json with root/password DB credentials; Production values injected by the pipeline.</t>
        </is>
      </c>
      <c r="E53" s="17" t="inlineStr">
        <is>
          <t>Deployment</t>
        </is>
      </c>
      <c r="F53" s="21" t="n">
        <v>3</v>
      </c>
    </row>
    <row r="54">
      <c r="A54" s="12" t="inlineStr">
        <is>
          <t>1.3.2</t>
        </is>
      </c>
      <c r="B54" s="13" t="inlineStr">
        <is>
          <t>User Story</t>
        </is>
      </c>
      <c r="C54" s="14" t="inlineStr">
        <is>
          <t>CI pipeline</t>
        </is>
      </c>
      <c r="D54" s="15" t="inlineStr">
        <is>
          <t>As a team we want every change built, checked and tested automatically.</t>
        </is>
      </c>
      <c r="E54" s="12" t="n"/>
      <c r="F54" s="16">
        <f>SUMIFS(F55:F58,B55:B58,"Task")</f>
        <v/>
      </c>
    </row>
    <row r="55" ht="27.6" customHeight="1">
      <c r="A55" s="17" t="inlineStr">
        <is>
          <t>1.3.2.1</t>
        </is>
      </c>
      <c r="B55" s="18" t="inlineStr">
        <is>
          <t>Task</t>
        </is>
      </c>
      <c r="C55" s="19" t="inlineStr">
        <is>
          <t>ci.yml: build backend + frontend</t>
        </is>
      </c>
      <c r="D55" s="20" t="inlineStr">
        <is>
          <t>Azure Pipelines YAML building backend and frontend; agent pool and name taken from pipeline variables.</t>
        </is>
      </c>
      <c r="E55" s="17" t="inlineStr">
        <is>
          <t>Deployment</t>
        </is>
      </c>
      <c r="F55" s="21" t="n">
        <v>3</v>
      </c>
    </row>
    <row r="56">
      <c r="A56" s="17" t="inlineStr">
        <is>
          <t>1.3.2.2</t>
        </is>
      </c>
      <c r="B56" s="18" t="inlineStr">
        <is>
          <t>Task</t>
        </is>
      </c>
      <c r="C56" s="19" t="inlineStr">
        <is>
          <t>NuGet vulnerability check</t>
        </is>
      </c>
      <c r="D56" s="20" t="inlineStr">
        <is>
          <t>Fail the build when vulnerable NuGet packages are found.</t>
        </is>
      </c>
      <c r="E56" s="17" t="inlineStr">
        <is>
          <t>Deployment</t>
        </is>
      </c>
      <c r="F56" s="21" t="n">
        <v>2</v>
      </c>
    </row>
    <row r="57">
      <c r="A57" s="17" t="inlineStr">
        <is>
          <t>1.3.2.3</t>
        </is>
      </c>
      <c r="B57" s="18" t="inlineStr">
        <is>
          <t>Task</t>
        </is>
      </c>
      <c r="C57" s="19" t="inlineStr">
        <is>
          <t>npm audit check</t>
        </is>
      </c>
      <c r="D57" s="20" t="inlineStr">
        <is>
          <t>Run npm audit on the frontend and fail on high/critical vulnerabilities.</t>
        </is>
      </c>
      <c r="E57" s="17" t="inlineStr">
        <is>
          <t>Deployment</t>
        </is>
      </c>
      <c r="F57" s="21" t="n">
        <v>1</v>
      </c>
    </row>
    <row r="58">
      <c r="A58" s="17" t="inlineStr">
        <is>
          <t>1.3.2.4</t>
        </is>
      </c>
      <c r="B58" s="18" t="inlineStr">
        <is>
          <t>Task</t>
        </is>
      </c>
      <c r="C58" s="19" t="inlineStr">
        <is>
          <t>Run backend tests + publish results</t>
        </is>
      </c>
      <c r="D58" s="20" t="inlineStr">
        <is>
          <t>Run dotnet test for backend unit tests and publish test results to the pipeline.</t>
        </is>
      </c>
      <c r="E58" s="17" t="inlineStr">
        <is>
          <t>Deployment</t>
        </is>
      </c>
      <c r="F58" s="21" t="n">
        <v>2</v>
      </c>
    </row>
    <row r="59">
      <c r="A59" s="12" t="inlineStr">
        <is>
          <t>1.3.3</t>
        </is>
      </c>
      <c r="B59" s="13" t="inlineStr">
        <is>
          <t>User Story</t>
        </is>
      </c>
      <c r="C59" s="14" t="inlineStr">
        <is>
          <t>CD pipeline (local Docker)</t>
        </is>
      </c>
      <c r="D59" s="15" t="inlineStr">
        <is>
          <t>As a team we want successful builds deployed automatically to local Docker.</t>
        </is>
      </c>
      <c r="E59" s="12" t="n"/>
      <c r="F59" s="16">
        <f>SUMIFS(F60:F64,B60:B64,"Task")</f>
        <v/>
      </c>
    </row>
    <row r="60">
      <c r="A60" s="17" t="inlineStr">
        <is>
          <t>1.3.3.1</t>
        </is>
      </c>
      <c r="B60" s="18" t="inlineStr">
        <is>
          <t>Task</t>
        </is>
      </c>
      <c r="C60" s="19" t="inlineStr">
        <is>
          <t>cd.yml</t>
        </is>
      </c>
      <c r="D60" s="20" t="inlineStr">
        <is>
          <t>Azure Pipelines YAML used for deployment. Manual run only (trigger: none).</t>
        </is>
      </c>
      <c r="E60" s="17" t="inlineStr">
        <is>
          <t>Deployment</t>
        </is>
      </c>
      <c r="F60" s="21" t="n">
        <v>2</v>
      </c>
    </row>
    <row r="61" ht="27.6" customHeight="1">
      <c r="A61" s="17" t="inlineStr">
        <is>
          <t>1.3.3.2</t>
        </is>
      </c>
      <c r="B61" s="18" t="inlineStr">
        <is>
          <t>Task</t>
        </is>
      </c>
      <c r="C61" s="19" t="inlineStr">
        <is>
          <t>Generate appsettings.Production.json from pipeline variables</t>
        </is>
      </c>
      <c r="D61" s="20" t="inlineStr">
        <is>
          <t>Create appsettings.Production.json from secret pipeline variables (KUKA FM token, DB credentials).</t>
        </is>
      </c>
      <c r="E61" s="17" t="inlineStr">
        <is>
          <t>Deployment</t>
        </is>
      </c>
      <c r="F61" s="21" t="n">
        <v>3</v>
      </c>
    </row>
    <row r="62" ht="27.6" customHeight="1">
      <c r="A62" s="17" t="inlineStr">
        <is>
          <t>1.3.3.3</t>
        </is>
      </c>
      <c r="B62" s="18" t="inlineStr">
        <is>
          <t>Task</t>
        </is>
      </c>
      <c r="C62" s="19" t="inlineStr">
        <is>
          <t>docker compose build + up -d on agent Docker Desktop</t>
        </is>
      </c>
      <c r="D62" s="20" t="inlineStr">
        <is>
          <t>Run docker compose build and up -d on the agent host's Docker Desktop (Linux containers). Include docker builder prune -af to cleanup used resources.</t>
        </is>
      </c>
      <c r="E62" s="17" t="inlineStr">
        <is>
          <t>Deployment</t>
        </is>
      </c>
      <c r="F62" s="21" t="n">
        <v>3</v>
      </c>
    </row>
    <row r="63">
      <c r="A63" s="17" t="inlineStr">
        <is>
          <t>1.3.3.4</t>
        </is>
      </c>
      <c r="B63" s="18" t="inlineStr">
        <is>
          <t>Task</t>
        </is>
      </c>
      <c r="C63" s="19" t="inlineStr">
        <is>
          <t>Apply DB migrations on API startup</t>
        </is>
      </c>
      <c r="D63" s="20" t="inlineStr">
        <is>
          <t>API applies EF Core migrations on startup (Database.Migrate()) so every deployment updates the PostgreSQL schema; no migration step in the pipeline.</t>
        </is>
      </c>
      <c r="E63" s="17" t="inlineStr">
        <is>
          <t>Backend</t>
        </is>
      </c>
      <c r="F63" s="21" t="n">
        <v>2</v>
      </c>
    </row>
    <row r="64" ht="27.6" customHeight="1">
      <c r="A64" s="17" t="inlineStr">
        <is>
          <t>1.3.3.5</t>
        </is>
      </c>
      <c r="B64" s="18" t="inlineStr">
        <is>
          <t>Task</t>
        </is>
      </c>
      <c r="C64" s="19" t="inlineStr">
        <is>
          <t>Smoke check after deployment (frontend + /api)</t>
        </is>
      </c>
      <c r="D64" s="20" t="inlineStr">
        <is>
          <t>After deploy verify that the frontend (8080) and /api through nginx respond; fail the pipeline otherwise.</t>
        </is>
      </c>
      <c r="E64" s="17" t="inlineStr">
        <is>
          <t>Deployment</t>
        </is>
      </c>
      <c r="F64" s="21" t="n">
        <v>2</v>
      </c>
    </row>
  </sheetData>
  <autoFilter ref="A1:F64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4.4"/>
  <cols>
    <col width="30" customWidth="1" min="1" max="1"/>
    <col width="10" customWidth="1" min="2" max="2"/>
  </cols>
  <sheetData>
    <row r="1" ht="15.6" customHeight="1">
      <c r="A1" s="22" t="inlineStr">
        <is>
          <t>Estimated hours by Feature</t>
        </is>
      </c>
      <c r="B1" s="23" t="n"/>
    </row>
    <row r="2">
      <c r="A2" s="24" t="inlineStr">
        <is>
          <t>Feature</t>
        </is>
      </c>
      <c r="B2" s="24" t="inlineStr">
        <is>
          <t>Hours</t>
        </is>
      </c>
    </row>
    <row r="3">
      <c r="A3" s="23" t="inlineStr">
        <is>
          <t>Mission Management</t>
        </is>
      </c>
      <c r="B3" s="23">
        <f>Backlog!F3</f>
        <v/>
      </c>
    </row>
    <row r="4">
      <c r="A4" s="23" t="inlineStr">
        <is>
          <t>Robot Management</t>
        </is>
      </c>
      <c r="B4" s="23">
        <f>Backlog!F31</f>
        <v/>
      </c>
    </row>
    <row r="5">
      <c r="A5" s="23" t="inlineStr">
        <is>
          <t>Deployment</t>
        </is>
      </c>
      <c r="B5" s="23">
        <f>Backlog!F47</f>
        <v/>
      </c>
    </row>
    <row r="6">
      <c r="A6" s="25" t="inlineStr">
        <is>
          <t>Total</t>
        </is>
      </c>
      <c r="B6" s="25">
        <f>SUM(B3:B5)</f>
        <v/>
      </c>
    </row>
    <row r="7" ht="15.6" customHeight="1">
      <c r="A7" s="22" t="n"/>
      <c r="B7" s="23" t="n"/>
    </row>
    <row r="8">
      <c r="A8" s="24" t="inlineStr">
        <is>
          <t>Estimated hours by Activity</t>
        </is>
      </c>
      <c r="B8" s="24" t="n"/>
    </row>
    <row r="9">
      <c r="A9" s="23" t="inlineStr">
        <is>
          <t>Activity</t>
        </is>
      </c>
      <c r="B9" s="23" t="inlineStr">
        <is>
          <t>Hours</t>
        </is>
      </c>
    </row>
    <row r="10">
      <c r="A10" s="23" t="inlineStr">
        <is>
          <t>Backend</t>
        </is>
      </c>
      <c r="B10" s="23">
        <f>SUMIFS(Backlog!F:F,Backlog!E:E,"Backend",Backlog!B:B,"Task")</f>
        <v/>
      </c>
    </row>
    <row r="11">
      <c r="A11" s="23" t="inlineStr">
        <is>
          <t>Frontend</t>
        </is>
      </c>
      <c r="B11" s="23">
        <f>SUMIFS(Backlog!F:F,Backlog!E:E,"Frontend",Backlog!B:B,"Task")</f>
        <v/>
      </c>
    </row>
    <row r="12">
      <c r="A12" s="23" t="inlineStr">
        <is>
          <t>Testing</t>
        </is>
      </c>
      <c r="B12" s="23">
        <f>SUMIFS(Backlog!F:F,Backlog!E:E,"Testing",Backlog!B:B,"Task")</f>
        <v/>
      </c>
    </row>
    <row r="13">
      <c r="A13" s="23" t="inlineStr">
        <is>
          <t>Deployment</t>
        </is>
      </c>
      <c r="B13" s="23">
        <f>SUMIFS(Backlog!F:F,Backlog!E:E,"Deployment",Backlog!B:B,"Task")</f>
        <v/>
      </c>
    </row>
    <row r="14">
      <c r="A14" s="25" t="inlineStr">
        <is>
          <t>Total</t>
        </is>
      </c>
      <c r="B14" s="25">
        <f>SUM(B10:B13)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2026-10-14T13:08:29Z</dcterms:created>
  <dcterms:modified xsi:type="dcterms:W3CDTF">2026-10-15T09:01:45Z</dcterms:modified>
  <cp:lastModifiedBy>Martin Pajpach</cp:lastModifiedBy>
</cp:coreProperties>
</file>